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hefile\Research\laricard\Dana\Red mud\Final scripts\Scale up - Final\Independent Optimization\"/>
    </mc:Choice>
  </mc:AlternateContent>
  <xr:revisionPtr revIDLastSave="0" documentId="13_ncr:1_{EC63BC63-2CF8-43A1-87D3-04171D23485B}" xr6:coauthVersionLast="47" xr6:coauthVersionMax="47" xr10:uidLastSave="{00000000-0000-0000-0000-000000000000}"/>
  <bookViews>
    <workbookView xWindow="-120" yWindow="-120" windowWidth="29040" windowHeight="15840" activeTab="1" xr2:uid="{A4BDF193-CC02-417C-B750-045A0D467506}"/>
  </bookViews>
  <sheets>
    <sheet name="1st trial" sheetId="1" r:id="rId1"/>
    <sheet name="Final" sheetId="2" r:id="rId2"/>
  </sheets>
  <definedNames>
    <definedName name="_xlchart.v1.0" hidden="1">'1st trial'!$A$3:$A$9</definedName>
    <definedName name="_xlchart.v1.1" hidden="1">'1st trial'!$B$3:$B$9</definedName>
    <definedName name="_xlchart.v1.2" hidden="1">'1st trial'!$A$17:$A$21</definedName>
    <definedName name="_xlchart.v1.3" hidden="1">'1st trial'!$B$17:$B$21</definedName>
    <definedName name="_xlchart.v1.4" hidden="1">'1st trial'!$A$38:$A$42</definedName>
    <definedName name="_xlchart.v1.5" hidden="1">'1st trial'!$B$38:$B$42</definedName>
    <definedName name="_xlchart.v5.6" hidden="1">Final!$G$12:$G$16</definedName>
    <definedName name="_xlchart.v5.7" hidden="1">Final!$H$12:$H$16</definedName>
    <definedName name="_xlchart.v5.8" hidden="1">Final!$G$2:$G$8</definedName>
    <definedName name="_xlchart.v5.9" hidden="1">Final!$H$2:$H$8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H12" i="2"/>
  <c r="H7" i="2"/>
  <c r="H6" i="2"/>
  <c r="H5" i="2"/>
  <c r="H4" i="2"/>
  <c r="H3" i="2"/>
  <c r="H2" i="2"/>
  <c r="H8" i="2"/>
  <c r="H16" i="2"/>
  <c r="H14" i="2"/>
  <c r="H13" i="2"/>
  <c r="B46" i="2" l="1"/>
  <c r="B42" i="1"/>
  <c r="B21" i="1"/>
  <c r="B9" i="1"/>
</calcChain>
</file>

<file path=xl/sharedStrings.xml><?xml version="1.0" encoding="utf-8"?>
<sst xmlns="http://schemas.openxmlformats.org/spreadsheetml/2006/main" count="56" uniqueCount="29">
  <si>
    <t>Flow rate</t>
  </si>
  <si>
    <t>Heat</t>
  </si>
  <si>
    <t>Fuel</t>
  </si>
  <si>
    <t>CO2 avoided</t>
  </si>
  <si>
    <t>Capital</t>
  </si>
  <si>
    <t>OC</t>
  </si>
  <si>
    <t>Total</t>
  </si>
  <si>
    <t>nOC</t>
  </si>
  <si>
    <t>Optimal Design for the Reduction Stage</t>
  </si>
  <si>
    <t>L</t>
  </si>
  <si>
    <t>D</t>
  </si>
  <si>
    <t>tf,red</t>
  </si>
  <si>
    <t>m_in, red</t>
  </si>
  <si>
    <t>tf,ox</t>
  </si>
  <si>
    <t>m_in,ox</t>
  </si>
  <si>
    <t>yi,ox</t>
  </si>
  <si>
    <t>LB</t>
  </si>
  <si>
    <t>UB</t>
  </si>
  <si>
    <t>Optimal Design for the Oxidation Stage</t>
  </si>
  <si>
    <t>value</t>
  </si>
  <si>
    <t>Reduction</t>
  </si>
  <si>
    <t>Oxidation</t>
  </si>
  <si>
    <r>
      <t>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avoided</t>
    </r>
  </si>
  <si>
    <t>ΔP</t>
  </si>
  <si>
    <t>Heat efficiency sensitivity for oxidation</t>
  </si>
  <si>
    <t>eta</t>
  </si>
  <si>
    <t>TAP</t>
  </si>
  <si>
    <r>
      <t>η</t>
    </r>
    <r>
      <rPr>
        <vertAlign val="subscript"/>
        <sz val="10"/>
        <color rgb="FF595959"/>
        <rFont val="Aptos Narrow"/>
        <family val="2"/>
        <scheme val="minor"/>
      </rPr>
      <t>heat</t>
    </r>
  </si>
  <si>
    <t>Updated May 28th,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</si>
</sst>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rgb="FF595959"/>
      <name val="Aptos Narrow"/>
      <family val="2"/>
      <scheme val="minor"/>
    </font>
    <font>
      <vertAlign val="subscript"/>
      <sz val="10"/>
      <color rgb="FF59595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TAP</a:t>
            </a:r>
            <a:r>
              <a:rPr lang="en-US" baseline="0"/>
              <a:t> to </a:t>
            </a:r>
            <a:r>
              <a:rPr lang="el-GR" sz="1400" b="0" i="0" u="none" strike="noStrike" baseline="0">
                <a:effectLst/>
              </a:rPr>
              <a:t>η</a:t>
            </a:r>
            <a:r>
              <a:rPr lang="en-US" sz="1400" b="0" i="0" u="none" strike="noStrike" baseline="-25000">
                <a:effectLst/>
              </a:rPr>
              <a:t>heat</a:t>
            </a:r>
            <a:r>
              <a:rPr lang="en-US" sz="1400" b="0" i="0" u="none" strike="noStrike" baseline="0">
                <a:effectLst/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Final!$A$45:$A$47</c:f>
              <c:numCache>
                <c:formatCode>General</c:formatCode>
                <c:ptCount val="3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</c:numCache>
            </c:numRef>
          </c:xVal>
          <c:yVal>
            <c:numRef>
              <c:f>Final!$B$45:$B$47</c:f>
              <c:numCache>
                <c:formatCode>General</c:formatCode>
                <c:ptCount val="3"/>
                <c:pt idx="0">
                  <c:v>272136.20929273602</c:v>
                </c:pt>
                <c:pt idx="1">
                  <c:v>345015</c:v>
                </c:pt>
                <c:pt idx="2">
                  <c:v>418702.83104169898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8-48F6-B603-AEC9A391D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394511"/>
        <c:axId val="273395951"/>
      </c:scatterChart>
      <c:valAx>
        <c:axId val="273394511"/>
        <c:scaling>
          <c:orientation val="minMax"/>
          <c:max val="0.9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η</a:t>
                </a:r>
                <a:r>
                  <a:rPr lang="en-US" sz="1000" b="0" i="0" u="none" strike="noStrike" baseline="-25000">
                    <a:effectLst/>
                  </a:rPr>
                  <a:t>heat</a:t>
                </a:r>
                <a:r>
                  <a:rPr lang="en-US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395951"/>
        <c:crosses val="autoZero"/>
        <c:crossBetween val="midCat"/>
      </c:valAx>
      <c:valAx>
        <c:axId val="273395951"/>
        <c:scaling>
          <c:orientation val="minMax"/>
          <c:min val="2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Annual Profit ($/year)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39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Reduction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Reduction</a:t>
          </a:r>
        </a:p>
      </cx:txPr>
    </cx:title>
    <cx:plotArea>
      <cx:plotAreaRegion>
        <cx:series layoutId="waterfall" uniqueId="{EBBA852E-A125-4F85-8DE3-2184AFD48826}">
          <cx:dataLabels pos="outEnd">
            <cx:visibility seriesName="0" categoryName="0" value="1"/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tle>
          <cx:tx>
            <cx:txData>
              <cx:v/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Total Annualized Profit ($/year)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Annualized Profit ($/year)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Oxidation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Oxidation</a:t>
          </a:r>
        </a:p>
      </cx:txPr>
    </cx:title>
    <cx:plotArea>
      <cx:plotAreaRegion>
        <cx:series layoutId="waterfall" uniqueId="{E3A120E4-F468-418E-BE16-DE6EE140AEC5}">
          <cx:dataLabels pos="outEnd"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 sz="1000"/>
                </a:pPr>
                <a:r>
                  <a:rPr lang="en-US" sz="1000" b="0" i="0" baseline="0">
                    <a:effectLst/>
                  </a:rPr>
                  <a:t>Total Annualized Profit ($/year)</a:t>
                </a:r>
                <a:endParaRPr lang="en-US" sz="1000">
                  <a:effectLst/>
                </a:endParaRPr>
              </a:p>
            </cx:rich>
          </cx:tx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Oxidation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Oxidation</a:t>
          </a:r>
        </a:p>
      </cx:txPr>
    </cx:title>
    <cx:plotArea>
      <cx:plotAreaRegion>
        <cx:series layoutId="waterfall" uniqueId="{1CC1D977-1F2B-4596-B84C-F0D056C79DD1}">
          <cx:dataLabels pos="outEnd"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Total Annualized Profit ($/year)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Annualized Profit ($/year)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</cx:f>
      </cx:strDim>
      <cx:numDim type="val">
        <cx:f>_xlchart.v5.9</cx:f>
      </cx:numDim>
    </cx:data>
  </cx:chartData>
  <cx:chart>
    <cx:title pos="t" align="ctr" overlay="0">
      <cx:tx>
        <cx:txData>
          <cx:v>Optimal Reduction Design Economics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ysClr val="windowText" lastClr="000000"/>
              </a:solidFill>
              <a:latin typeface="Georgia" panose="02040502050405020303" pitchFamily="18" charset="0"/>
              <a:ea typeface="Georgia" panose="02040502050405020303" pitchFamily="18" charset="0"/>
              <a:cs typeface="Georgia" panose="02040502050405020303" pitchFamily="18" charset="0"/>
            </a:defRPr>
          </a:pPr>
          <a:r>
            <a:rPr lang="en-US" sz="1400">
              <a:solidFill>
                <a:sysClr val="windowText" lastClr="000000"/>
              </a:solidFill>
              <a:latin typeface="Georgia" panose="02040502050405020303" pitchFamily="18" charset="0"/>
            </a:rPr>
            <a:t>Optimal Reduction Design Economics</a:t>
          </a:r>
        </a:p>
      </cx:txPr>
    </cx:title>
    <cx:plotArea>
      <cx:plotAreaRegion>
        <cx:series layoutId="waterfall" uniqueId="{068F0ED1-5A7F-4721-9C3F-5D403F1D2CE7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400" b="0" i="0">
                    <a:solidFill>
                      <a:sysClr val="windowText" lastClr="000000"/>
                    </a:solidFill>
                    <a:latin typeface="Georgia" panose="02040502050405020303" pitchFamily="18" charset="0"/>
                    <a:ea typeface="Georgia" panose="02040502050405020303" pitchFamily="18" charset="0"/>
                    <a:cs typeface="Georgia" panose="02040502050405020303" pitchFamily="18" charset="0"/>
                  </a:defRPr>
                </a:pPr>
                <a:endParaRPr lang="en-US" sz="1400">
                  <a:solidFill>
                    <a:sysClr val="windowText" lastClr="000000"/>
                  </a:solidFill>
                  <a:latin typeface="Georgia" panose="02040502050405020303" pitchFamily="18" charset="0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>
                  <a:solidFill>
                    <a:sysClr val="windowText" lastClr="000000"/>
                  </a:solidFill>
                  <a:latin typeface="Georgia" panose="02040502050405020303" pitchFamily="18" charset="0"/>
                  <a:ea typeface="Georgia" panose="02040502050405020303" pitchFamily="18" charset="0"/>
                  <a:cs typeface="Georgia" panose="02040502050405020303" pitchFamily="18" charset="0"/>
                </a:defRPr>
              </a:pPr>
              <a:endParaRPr lang="en-US" sz="1400" b="0" i="0" u="none" strike="noStrike" baseline="0">
                <a:solidFill>
                  <a:sysClr val="windowText" lastClr="000000"/>
                </a:solidFill>
                <a:latin typeface="Georgia" panose="02040502050405020303" pitchFamily="18" charset="0"/>
              </a:endParaRP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ysClr val="windowText" lastClr="000000"/>
                </a:solidFill>
                <a:latin typeface="Georgia" panose="02040502050405020303" pitchFamily="18" charset="0"/>
                <a:ea typeface="Georgia" panose="02040502050405020303" pitchFamily="18" charset="0"/>
                <a:cs typeface="Georgia" panose="02040502050405020303" pitchFamily="18" charset="0"/>
              </a:defRPr>
            </a:pPr>
            <a:endParaRPr lang="en-US" sz="1200">
              <a:solidFill>
                <a:sysClr val="windowText" lastClr="000000"/>
              </a:solidFill>
              <a:latin typeface="Georgia" panose="02040502050405020303" pitchFamily="18" charset="0"/>
            </a:endParaRPr>
          </a:p>
        </cx:txPr>
      </cx:axis>
      <cx:axis id="1">
        <cx:valScaling/>
        <cx:title>
          <cx:tx>
            <cx:txData>
              <cx:v>Total Annual Profit ($/yr)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>
                  <a:solidFill>
                    <a:sysClr val="windowText" lastClr="000000"/>
                  </a:solidFill>
                  <a:latin typeface="Georgia" panose="02040502050405020303" pitchFamily="18" charset="0"/>
                  <a:ea typeface="Georgia" panose="02040502050405020303" pitchFamily="18" charset="0"/>
                  <a:cs typeface="Georgia" panose="02040502050405020303" pitchFamily="18" charset="0"/>
                </a:defRPr>
              </a:pPr>
              <a:r>
                <a:rPr lang="en-US" sz="1400" b="0" i="0" u="none" strike="noStrike" baseline="0">
                  <a:solidFill>
                    <a:sysClr val="windowText" lastClr="000000"/>
                  </a:solidFill>
                  <a:latin typeface="Georgia" panose="02040502050405020303" pitchFamily="18" charset="0"/>
                </a:rPr>
                <a:t>Total Annual Profit ($/yr)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ysClr val="windowText" lastClr="000000"/>
                </a:solidFill>
                <a:latin typeface="Georgia" panose="02040502050405020303" pitchFamily="18" charset="0"/>
                <a:ea typeface="Georgia" panose="02040502050405020303" pitchFamily="18" charset="0"/>
                <a:cs typeface="Georgia" panose="02040502050405020303" pitchFamily="18" charset="0"/>
              </a:defRPr>
            </a:pPr>
            <a:endParaRPr lang="en-US" sz="1400">
              <a:solidFill>
                <a:sysClr val="windowText" lastClr="000000"/>
              </a:solidFill>
              <a:latin typeface="Georgia" panose="02040502050405020303" pitchFamily="18" charset="0"/>
            </a:endParaRPr>
          </a:p>
        </cx:txPr>
      </cx:axis>
    </cx:plotArea>
  </cx:chart>
  <cx:fmtOvrs>
    <cx:fmtOvr idx="1">
      <cx:spPr>
        <a:solidFill>
          <a:srgbClr val="C00000"/>
        </a:solidFill>
      </cx:spPr>
    </cx:fmtOvr>
    <cx:fmtOvr idx="0">
      <cx:spPr>
        <a:solidFill>
          <a:schemeClr val="accent3"/>
        </a:solidFill>
      </cx:spPr>
    </cx:fmtOvr>
    <cx:fmtOvr idx="2">
      <cx:spPr>
        <a:solidFill>
          <a:schemeClr val="accent1"/>
        </a:solidFill>
      </cx:spPr>
    </cx:fmtOvr>
  </cx:fmtOvrs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</cx:strDim>
      <cx:numDim type="val">
        <cx:f>_xlchart.v5.7</cx:f>
      </cx:numDim>
    </cx:data>
  </cx:chartData>
  <cx:chart>
    <cx:title pos="t" align="ctr" overlay="0">
      <cx:tx>
        <cx:txData>
          <cx:v>Optimal Oxidation Design Economics</cx:v>
        </cx:txData>
      </cx:tx>
      <cx:txPr>
        <a:bodyPr vertOverflow="overflow" horzOverflow="overflow" wrap="square" lIns="0" tIns="0" rIns="0" bIns="0"/>
        <a:lstStyle/>
        <a:p>
          <a:pPr algn="ctr" rtl="0">
            <a:defRPr lang="en-US" sz="1400" b="0" i="0" u="none" strike="noStrike" baseline="0">
              <a:solidFill>
                <a:sysClr val="windowText" lastClr="000000"/>
              </a:solidFill>
              <a:latin typeface="Georgia" panose="02040502050405020303" pitchFamily="18" charset="0"/>
              <a:ea typeface="Georgia" panose="02040502050405020303" pitchFamily="18" charset="0"/>
              <a:cs typeface="Georgia" panose="02040502050405020303" pitchFamily="18" charset="0"/>
            </a:defRPr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Georgia" panose="02040502050405020303" pitchFamily="18" charset="0"/>
              <a:ea typeface="Georgia" panose="02040502050405020303" pitchFamily="18" charset="0"/>
              <a:cs typeface="Georgia" panose="02040502050405020303" pitchFamily="18" charset="0"/>
            </a:rPr>
            <a:t>Optimal Oxidation Design Economics</a:t>
          </a:r>
        </a:p>
      </cx:txPr>
    </cx:title>
    <cx:plotArea>
      <cx:plotAreaRegion>
        <cx:series layoutId="waterfall" uniqueId="{8E839815-B33E-4E4A-A550-713EA74C6408}"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400" b="0" i="0" u="none" strike="noStrike" baseline="0">
                    <a:solidFill>
                      <a:sysClr val="windowText" lastClr="000000"/>
                    </a:solidFill>
                    <a:latin typeface="Georgia" panose="02040502050405020303" pitchFamily="18" charset="0"/>
                    <a:ea typeface="Georgia" panose="02040502050405020303" pitchFamily="18" charset="0"/>
                    <a:cs typeface="Georgia" panose="02040502050405020303" pitchFamily="18" charset="0"/>
                  </a:defRPr>
                </a:pPr>
                <a:endParaRPr lang="en-US" sz="1400" b="0" i="0" u="none" strike="noStrike" baseline="0">
                  <a:solidFill>
                    <a:sysClr val="windowText" lastClr="000000"/>
                  </a:solidFill>
                  <a:latin typeface="Georgia" panose="02040502050405020303" pitchFamily="18" charset="0"/>
                  <a:ea typeface="Georgia" panose="02040502050405020303" pitchFamily="18" charset="0"/>
                  <a:cs typeface="Georgia" panose="02040502050405020303" pitchFamily="18" charset="0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en-US" sz="1400" b="0" i="0" u="none" strike="noStrike" baseline="0">
                  <a:solidFill>
                    <a:sysClr val="windowText" lastClr="000000"/>
                  </a:solidFill>
                  <a:latin typeface="Georgia" panose="02040502050405020303" pitchFamily="18" charset="0"/>
                  <a:ea typeface="Georgia" panose="02040502050405020303" pitchFamily="18" charset="0"/>
                  <a:cs typeface="Georgia" panose="02040502050405020303" pitchFamily="18" charset="0"/>
                </a:defRPr>
              </a:pPr>
              <a:endParaRPr lang="en-US" sz="1400" b="0" i="0" u="none" strike="noStrike" baseline="0">
                <a:solidFill>
                  <a:sysClr val="windowText" lastClr="000000"/>
                </a:solidFill>
                <a:latin typeface="Georgia" panose="02040502050405020303" pitchFamily="18" charset="0"/>
                <a:ea typeface="Georgia" panose="02040502050405020303" pitchFamily="18" charset="0"/>
                <a:cs typeface="Georgia" panose="02040502050405020303" pitchFamily="18" charset="0"/>
              </a:endParaRP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400" b="0" i="0" u="none" strike="noStrike" baseline="0">
                <a:solidFill>
                  <a:sysClr val="windowText" lastClr="000000"/>
                </a:solidFill>
                <a:latin typeface="Georgia" panose="02040502050405020303" pitchFamily="18" charset="0"/>
                <a:ea typeface="Georgia" panose="02040502050405020303" pitchFamily="18" charset="0"/>
                <a:cs typeface="Georgia" panose="02040502050405020303" pitchFamily="18" charset="0"/>
              </a:defRPr>
            </a:pPr>
            <a:endParaRPr lang="en-US" sz="1400" b="0" i="0" u="none" strike="noStrike" baseline="0">
              <a:solidFill>
                <a:sysClr val="windowText" lastClr="000000"/>
              </a:solidFill>
              <a:latin typeface="Georgia" panose="02040502050405020303" pitchFamily="18" charset="0"/>
              <a:ea typeface="Georgia" panose="02040502050405020303" pitchFamily="18" charset="0"/>
              <a:cs typeface="Georgia" panose="02040502050405020303" pitchFamily="18" charset="0"/>
            </a:endParaRPr>
          </a:p>
        </cx:txPr>
      </cx:axis>
      <cx:axis id="1">
        <cx:valScaling/>
        <cx:title>
          <cx:tx>
            <cx:txData>
              <cx:v>Total Annual Profit ($/yr)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en-US" sz="1400" b="0" i="0" u="none" strike="noStrike" baseline="0">
                  <a:solidFill>
                    <a:sysClr val="windowText" lastClr="000000"/>
                  </a:solidFill>
                  <a:latin typeface="Georgia" panose="02040502050405020303" pitchFamily="18" charset="0"/>
                  <a:ea typeface="Georgia" panose="02040502050405020303" pitchFamily="18" charset="0"/>
                  <a:cs typeface="Georgia" panose="02040502050405020303" pitchFamily="18" charset="0"/>
                </a:defRPr>
              </a:pPr>
              <a:r>
                <a:rPr lang="en-US" sz="1400" b="0" i="0" u="none" strike="noStrike" baseline="0">
                  <a:solidFill>
                    <a:sysClr val="windowText" lastClr="000000"/>
                  </a:solidFill>
                  <a:latin typeface="Georgia" panose="02040502050405020303" pitchFamily="18" charset="0"/>
                  <a:ea typeface="Georgia" panose="02040502050405020303" pitchFamily="18" charset="0"/>
                  <a:cs typeface="Georgia" panose="02040502050405020303" pitchFamily="18" charset="0"/>
                </a:rPr>
                <a:t>Total Annual Profit ($/yr)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400" b="0" i="0" u="none" strike="noStrike" baseline="0">
                <a:solidFill>
                  <a:sysClr val="windowText" lastClr="000000"/>
                </a:solidFill>
                <a:latin typeface="Georgia" panose="02040502050405020303" pitchFamily="18" charset="0"/>
                <a:ea typeface="Georgia" panose="02040502050405020303" pitchFamily="18" charset="0"/>
                <a:cs typeface="Georgia" panose="02040502050405020303" pitchFamily="18" charset="0"/>
              </a:defRPr>
            </a:pPr>
            <a:endParaRPr lang="en-US" sz="1400" b="0" i="0" u="none" strike="noStrike" baseline="0">
              <a:solidFill>
                <a:sysClr val="windowText" lastClr="000000"/>
              </a:solidFill>
              <a:latin typeface="Georgia" panose="02040502050405020303" pitchFamily="18" charset="0"/>
              <a:ea typeface="Georgia" panose="02040502050405020303" pitchFamily="18" charset="0"/>
              <a:cs typeface="Georgia" panose="02040502050405020303" pitchFamily="18" charset="0"/>
            </a:endParaRPr>
          </a:p>
        </cx:txPr>
      </cx:axis>
    </cx:plotArea>
  </cx:chart>
  <cx:spPr>
    <a:solidFill>
      <a:schemeClr val="bg1"/>
    </a:solidFill>
  </cx:spPr>
  <cx:fmtOvrs>
    <cx:fmtOvr idx="0">
      <cx:spPr>
        <a:solidFill>
          <a:schemeClr val="accent3"/>
        </a:solidFill>
      </cx:spPr>
    </cx:fmtOvr>
    <cx:fmtOvr idx="1">
      <cx:spPr>
        <a:solidFill>
          <a:srgbClr val="C00000"/>
        </a:solidFill>
      </cx:spPr>
    </cx:fmtOvr>
    <cx:fmtOvr idx="2">
      <cx:spPr>
        <a:solidFill>
          <a:schemeClr val="accent1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1</xdr:row>
      <xdr:rowOff>128586</xdr:rowOff>
    </xdr:from>
    <xdr:to>
      <xdr:col>17</xdr:col>
      <xdr:colOff>581025</xdr:colOff>
      <xdr:row>18</xdr:row>
      <xdr:rowOff>171449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BFE5A68-43A2-0695-5B3F-54920DEA0B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9225" y="319086"/>
              <a:ext cx="5753100" cy="32813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52387</xdr:colOff>
      <xdr:row>20</xdr:row>
      <xdr:rowOff>4762</xdr:rowOff>
    </xdr:from>
    <xdr:to>
      <xdr:col>16</xdr:col>
      <xdr:colOff>357187</xdr:colOff>
      <xdr:row>34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9A33ECF-75DB-027C-D295-FE2846721D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6887" y="3814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358140</xdr:colOff>
      <xdr:row>35</xdr:row>
      <xdr:rowOff>186690</xdr:rowOff>
    </xdr:from>
    <xdr:to>
      <xdr:col>13</xdr:col>
      <xdr:colOff>53340</xdr:colOff>
      <xdr:row>50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4735AF8-D3AC-B320-114A-AAF6C18F42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6854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6</xdr:row>
      <xdr:rowOff>29526</xdr:rowOff>
    </xdr:from>
    <xdr:to>
      <xdr:col>25</xdr:col>
      <xdr:colOff>546734</xdr:colOff>
      <xdr:row>24</xdr:row>
      <xdr:rowOff>17145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1CE2E41-A09E-3B1C-BC30-20B9E8630D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3475" y="1172526"/>
              <a:ext cx="7185659" cy="3454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96745</xdr:colOff>
      <xdr:row>19</xdr:row>
      <xdr:rowOff>168319</xdr:rowOff>
    </xdr:from>
    <xdr:to>
      <xdr:col>13</xdr:col>
      <xdr:colOff>469173</xdr:colOff>
      <xdr:row>39</xdr:row>
      <xdr:rowOff>99060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9107C07-7FDF-EEAF-23F8-1BA0DFB486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5945" y="3923890"/>
              <a:ext cx="7230428" cy="3849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352425</xdr:colOff>
      <xdr:row>30</xdr:row>
      <xdr:rowOff>952</xdr:rowOff>
    </xdr:from>
    <xdr:to>
      <xdr:col>23</xdr:col>
      <xdr:colOff>47625</xdr:colOff>
      <xdr:row>45</xdr:row>
      <xdr:rowOff>29527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FABBAD-4647-C161-6433-90022993E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E10D-439A-4C2C-96D3-834141144913}">
  <dimension ref="A3:B43"/>
  <sheetViews>
    <sheetView workbookViewId="0">
      <selection activeCell="H22" sqref="H22"/>
    </sheetView>
  </sheetViews>
  <sheetFormatPr defaultRowHeight="15" x14ac:dyDescent="0.25"/>
  <cols>
    <col min="2" max="2" width="9.7109375" bestFit="1" customWidth="1"/>
  </cols>
  <sheetData>
    <row r="3" spans="1:2" x14ac:dyDescent="0.25">
      <c r="A3" t="s">
        <v>0</v>
      </c>
      <c r="B3">
        <v>-82.96</v>
      </c>
    </row>
    <row r="4" spans="1:2" x14ac:dyDescent="0.25">
      <c r="A4" t="s">
        <v>4</v>
      </c>
      <c r="B4">
        <v>-3295.67</v>
      </c>
    </row>
    <row r="5" spans="1:2" x14ac:dyDescent="0.25">
      <c r="A5" t="s">
        <v>5</v>
      </c>
      <c r="B5">
        <v>-8089.37</v>
      </c>
    </row>
    <row r="6" spans="1:2" x14ac:dyDescent="0.25">
      <c r="A6" t="s">
        <v>2</v>
      </c>
      <c r="B6">
        <v>-205065.37</v>
      </c>
    </row>
    <row r="7" spans="1:2" x14ac:dyDescent="0.25">
      <c r="A7" t="s">
        <v>1</v>
      </c>
      <c r="B7">
        <v>3654.68</v>
      </c>
    </row>
    <row r="8" spans="1:2" x14ac:dyDescent="0.25">
      <c r="A8" t="s">
        <v>3</v>
      </c>
      <c r="B8">
        <v>45053.13</v>
      </c>
    </row>
    <row r="9" spans="1:2" x14ac:dyDescent="0.25">
      <c r="A9" t="s">
        <v>6</v>
      </c>
      <c r="B9">
        <f>SUM(B3:B8)</f>
        <v>-167825.56</v>
      </c>
    </row>
    <row r="10" spans="1:2" x14ac:dyDescent="0.25">
      <c r="A10" t="s">
        <v>7</v>
      </c>
      <c r="B10">
        <v>6</v>
      </c>
    </row>
    <row r="17" spans="1:2" x14ac:dyDescent="0.25">
      <c r="A17" t="s">
        <v>0</v>
      </c>
      <c r="B17">
        <v>-5689.68</v>
      </c>
    </row>
    <row r="18" spans="1:2" x14ac:dyDescent="0.25">
      <c r="A18" t="s">
        <v>4</v>
      </c>
      <c r="B18">
        <v>-21930.1</v>
      </c>
    </row>
    <row r="19" spans="1:2" x14ac:dyDescent="0.25">
      <c r="A19" t="s">
        <v>5</v>
      </c>
      <c r="B19">
        <v>-167379.25</v>
      </c>
    </row>
    <row r="20" spans="1:2" x14ac:dyDescent="0.25">
      <c r="A20" t="s">
        <v>1</v>
      </c>
      <c r="B20">
        <v>256856.99</v>
      </c>
    </row>
    <row r="21" spans="1:2" x14ac:dyDescent="0.25">
      <c r="A21" t="s">
        <v>6</v>
      </c>
      <c r="B21">
        <f>SUM(B17:B20)</f>
        <v>61857.959999999992</v>
      </c>
    </row>
    <row r="22" spans="1:2" x14ac:dyDescent="0.25">
      <c r="A22" t="s">
        <v>7</v>
      </c>
      <c r="B22">
        <v>6</v>
      </c>
    </row>
    <row r="38" spans="1:2" x14ac:dyDescent="0.25">
      <c r="A38" t="s">
        <v>0</v>
      </c>
      <c r="B38">
        <v>-446.31</v>
      </c>
    </row>
    <row r="39" spans="1:2" x14ac:dyDescent="0.25">
      <c r="A39" t="s">
        <v>4</v>
      </c>
      <c r="B39">
        <v>-3085.74</v>
      </c>
    </row>
    <row r="40" spans="1:2" x14ac:dyDescent="0.25">
      <c r="A40" t="s">
        <v>5</v>
      </c>
      <c r="B40">
        <v>-46646.5</v>
      </c>
    </row>
    <row r="41" spans="1:2" x14ac:dyDescent="0.25">
      <c r="A41" t="s">
        <v>1</v>
      </c>
      <c r="B41">
        <v>41589.42</v>
      </c>
    </row>
    <row r="42" spans="1:2" x14ac:dyDescent="0.25">
      <c r="A42" t="s">
        <v>6</v>
      </c>
      <c r="B42">
        <f>SUM(B38:B41)</f>
        <v>-8589.1300000000047</v>
      </c>
    </row>
    <row r="43" spans="1:2" x14ac:dyDescent="0.25">
      <c r="A43" t="s">
        <v>7</v>
      </c>
      <c r="B43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29DD-8FF5-4EA0-A8BE-BE0DA8E3BCDE}">
  <dimension ref="A1:I47"/>
  <sheetViews>
    <sheetView tabSelected="1" zoomScale="70" zoomScaleNormal="70" workbookViewId="0">
      <selection activeCell="J9" sqref="J9"/>
    </sheetView>
  </sheetViews>
  <sheetFormatPr defaultRowHeight="15" x14ac:dyDescent="0.25"/>
  <cols>
    <col min="9" max="9" width="11" bestFit="1" customWidth="1"/>
    <col min="10" max="10" width="9.5703125" bestFit="1" customWidth="1"/>
  </cols>
  <sheetData>
    <row r="1" spans="1:8" x14ac:dyDescent="0.25">
      <c r="A1" t="s">
        <v>8</v>
      </c>
      <c r="G1" t="s">
        <v>20</v>
      </c>
    </row>
    <row r="2" spans="1:8" x14ac:dyDescent="0.25">
      <c r="B2" t="s">
        <v>19</v>
      </c>
      <c r="C2" t="s">
        <v>16</v>
      </c>
      <c r="D2" t="s">
        <v>17</v>
      </c>
      <c r="G2" s="1" t="s">
        <v>23</v>
      </c>
      <c r="H2">
        <f>ROUND(-3.79463807277184,0)</f>
        <v>-4</v>
      </c>
    </row>
    <row r="3" spans="1:8" x14ac:dyDescent="0.25">
      <c r="A3" t="s">
        <v>9</v>
      </c>
      <c r="B3">
        <v>2.38</v>
      </c>
      <c r="C3">
        <v>2.38</v>
      </c>
      <c r="D3">
        <v>7.38</v>
      </c>
      <c r="G3" t="s">
        <v>4</v>
      </c>
      <c r="H3">
        <f>ROUND(-12265.0349878578,0)</f>
        <v>-12265</v>
      </c>
    </row>
    <row r="4" spans="1:8" x14ac:dyDescent="0.25">
      <c r="A4" t="s">
        <v>10</v>
      </c>
      <c r="B4">
        <v>0.99</v>
      </c>
      <c r="C4">
        <v>0.99</v>
      </c>
      <c r="D4">
        <v>2.4700000000000002</v>
      </c>
      <c r="G4" t="s">
        <v>5</v>
      </c>
      <c r="H4">
        <f>ROUND(-1572.29925106483,0)</f>
        <v>-1572</v>
      </c>
    </row>
    <row r="5" spans="1:8" x14ac:dyDescent="0.25">
      <c r="A5" t="s">
        <v>11</v>
      </c>
      <c r="B5">
        <v>900</v>
      </c>
      <c r="C5">
        <v>900</v>
      </c>
      <c r="D5">
        <v>3600</v>
      </c>
      <c r="G5" t="s">
        <v>2</v>
      </c>
      <c r="H5">
        <f>ROUND(-36556.8182286721,0)</f>
        <v>-36557</v>
      </c>
    </row>
    <row r="6" spans="1:8" x14ac:dyDescent="0.25">
      <c r="A6" t="s">
        <v>12</v>
      </c>
      <c r="B6">
        <v>1.2999999999999999E-2</v>
      </c>
      <c r="C6">
        <v>1.2999999999999999E-2</v>
      </c>
      <c r="D6">
        <v>1.03</v>
      </c>
      <c r="G6" t="s">
        <v>1</v>
      </c>
      <c r="H6">
        <f>ROUND(329.553828843985,0)</f>
        <v>330</v>
      </c>
    </row>
    <row r="7" spans="1:8" ht="18" x14ac:dyDescent="0.35">
      <c r="G7" t="s">
        <v>22</v>
      </c>
      <c r="H7">
        <f>ROUND(8381.07421623803,0)</f>
        <v>8381</v>
      </c>
    </row>
    <row r="8" spans="1:8" x14ac:dyDescent="0.25">
      <c r="G8" t="s">
        <v>6</v>
      </c>
      <c r="H8">
        <f>SUM(H2:H7)</f>
        <v>-41687</v>
      </c>
    </row>
    <row r="11" spans="1:8" x14ac:dyDescent="0.25">
      <c r="A11" t="s">
        <v>18</v>
      </c>
      <c r="G11" t="s">
        <v>21</v>
      </c>
    </row>
    <row r="12" spans="1:8" x14ac:dyDescent="0.25">
      <c r="B12" t="s">
        <v>19</v>
      </c>
      <c r="C12" t="s">
        <v>16</v>
      </c>
      <c r="D12" t="s">
        <v>17</v>
      </c>
      <c r="G12" s="1" t="s">
        <v>23</v>
      </c>
      <c r="H12">
        <f>ROUND(-57245.0277606598,0)</f>
        <v>-57245</v>
      </c>
    </row>
    <row r="13" spans="1:8" x14ac:dyDescent="0.25">
      <c r="A13" t="s">
        <v>9</v>
      </c>
      <c r="B13">
        <v>7.38</v>
      </c>
      <c r="C13">
        <v>2.38</v>
      </c>
      <c r="D13">
        <v>7.38</v>
      </c>
      <c r="G13" t="s">
        <v>4</v>
      </c>
      <c r="H13">
        <f>ROUND(-80556.969492249,0)</f>
        <v>-80557</v>
      </c>
    </row>
    <row r="14" spans="1:8" x14ac:dyDescent="0.25">
      <c r="A14" t="s">
        <v>10</v>
      </c>
      <c r="B14">
        <v>2.4700000000000002</v>
      </c>
      <c r="C14">
        <v>0.99</v>
      </c>
      <c r="D14">
        <v>2.4700000000000002</v>
      </c>
      <c r="G14" t="s">
        <v>5</v>
      </c>
      <c r="H14">
        <f>ROUND(-30348.5640996836,0)</f>
        <v>-30349</v>
      </c>
    </row>
    <row r="15" spans="1:8" x14ac:dyDescent="0.25">
      <c r="A15" t="s">
        <v>13</v>
      </c>
      <c r="B15">
        <v>1274</v>
      </c>
      <c r="C15">
        <v>900</v>
      </c>
      <c r="D15">
        <v>3600</v>
      </c>
      <c r="G15" t="s">
        <v>1</v>
      </c>
      <c r="H15">
        <f>ROUND(513166.35479365,0)</f>
        <v>513166</v>
      </c>
    </row>
    <row r="16" spans="1:8" x14ac:dyDescent="0.25">
      <c r="A16" t="s">
        <v>14</v>
      </c>
      <c r="B16">
        <v>1.546</v>
      </c>
      <c r="C16">
        <v>4.0099999999999997E-2</v>
      </c>
      <c r="D16">
        <v>4.01</v>
      </c>
      <c r="G16" t="s">
        <v>6</v>
      </c>
      <c r="H16">
        <f>SUM(H12:H15)</f>
        <v>345015</v>
      </c>
    </row>
    <row r="17" spans="1:4" x14ac:dyDescent="0.25">
      <c r="A17" t="s">
        <v>15</v>
      </c>
      <c r="B17">
        <v>0.21</v>
      </c>
      <c r="C17">
        <v>0.08</v>
      </c>
      <c r="D17">
        <v>0.21</v>
      </c>
    </row>
    <row r="38" spans="1:9" x14ac:dyDescent="0.25">
      <c r="A38" t="s">
        <v>28</v>
      </c>
    </row>
    <row r="43" spans="1:9" x14ac:dyDescent="0.25">
      <c r="A43" t="s">
        <v>24</v>
      </c>
    </row>
    <row r="44" spans="1:9" x14ac:dyDescent="0.25">
      <c r="A44" t="s">
        <v>25</v>
      </c>
      <c r="B44" t="s">
        <v>26</v>
      </c>
      <c r="I44" s="2" t="s">
        <v>27</v>
      </c>
    </row>
    <row r="45" spans="1:9" x14ac:dyDescent="0.25">
      <c r="A45">
        <v>0.6</v>
      </c>
      <c r="B45">
        <v>272136.20929273602</v>
      </c>
    </row>
    <row r="46" spans="1:9" x14ac:dyDescent="0.25">
      <c r="A46">
        <v>0.7</v>
      </c>
      <c r="B46">
        <f>H16</f>
        <v>345015</v>
      </c>
    </row>
    <row r="47" spans="1:9" x14ac:dyDescent="0.25">
      <c r="A47">
        <v>0.8</v>
      </c>
      <c r="B47">
        <v>418702.83104169898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 trial</vt:lpstr>
      <vt:lpstr>Final</vt:lpstr>
    </vt:vector>
  </TitlesOfParts>
  <Company>Dept Chem Eng University of Waterloo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Ronson</dc:creator>
  <cp:lastModifiedBy>Dana Ronson</cp:lastModifiedBy>
  <dcterms:created xsi:type="dcterms:W3CDTF">2026-04-02T15:51:25Z</dcterms:created>
  <dcterms:modified xsi:type="dcterms:W3CDTF">2026-06-04T13:49:40Z</dcterms:modified>
</cp:coreProperties>
</file>